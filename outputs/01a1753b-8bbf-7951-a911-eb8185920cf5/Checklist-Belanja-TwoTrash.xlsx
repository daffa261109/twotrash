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b09e1194f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belanja" sheetId="1" r:id="R85fd942700f9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3447"/>
      <x:name val="Arial"/>
    </x:font>
    <x:font>
      <x:b/>
      <x:sz val="17"/>
      <x:color rgb="FF23466B"/>
      <x:name val="Arial"/>
    </x:font>
    <x:font>
      <x:sz val="10"/>
      <x:color rgb="FF64748B"/>
      <x:name val="Arial"/>
    </x:font>
    <x:font>
      <x:b/>
      <x:sz val="11"/>
      <x:color rgb="FF23466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66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45534"/>
      </x:font>
      <x:fill>
        <x:patternFill>
          <x:bgColor rgb="FFDCEEDD"/>
        </x:patternFill>
      </x:fill>
    </x:dxf>
    <x:dxf>
      <x:font>
        <x:color rgb="FF23466B"/>
      </x:font>
      <x:fill>
        <x:patternFill>
          <x:bgColor rgb="FFDBEAFE"/>
        </x:patternFill>
      </x:fill>
    </x:dxf>
    <x:dxf>
      <x:font>
        <x:color rgb="FF64748B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ac89d98d3468f" /><Relationship Type="http://schemas.openxmlformats.org/officeDocument/2006/relationships/theme" Target="/xl/theme/theme1.xml" Id="R9ef1485e2e08497e" /><Relationship Type="http://schemas.openxmlformats.org/officeDocument/2006/relationships/sharedStrings" Target="/xl/sharedStrings.xml" Id="R9ccf99ce62c64677" /><Relationship Type="http://schemas.openxmlformats.org/officeDocument/2006/relationships/worksheet" Target="/xl/worksheets/sheet1.xml" Id="R85fd942700f94fbb" /></Relationships>
</file>

<file path=xl/tables/table1.xml><?xml version="1.0" encoding="utf-8"?>
<x:table xmlns:x="http://schemas.openxmlformats.org/spreadsheetml/2006/main" id="1" name="ChecklistKomponen" displayName="ChecklistKomponen" ref="A9:I73" headerRowCount="1" totalsRowCount="0" totalsRowShown="0">
  <x:tableColumns count="9">
    <x:tableColumn id="1" name="No."/>
    <x:tableColumn id="2" name="Kategori"/>
    <x:tableColumn id="3" name="Komponen"/>
    <x:tableColumn id="4" name="Spesifikasi"/>
    <x:tableColumn id="5" name="Kebutuhan"/>
    <x:tableColumn id="6" name="Satuan"/>
    <x:tableColumn id="7" name="Status checklist"/>
    <x:tableColumn id="8" name="Toko / link"/>
    <x:tableColumn id="9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09517f81e94fc5" /></Relationships>
</file>

<file path=xl/worksheets/sheet1.xml><?xml version="1.0" encoding="utf-8"?>
<x:worksheet xmlns:x="http://schemas.openxmlformats.org/spreadsheetml/2006/main">
  <x:sheetPr>
    <x:tabColor rgb="FF23466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32" hidden="0" customWidth="1"/>
    <x:col min="4" max="4" width="54" hidden="0" customWidth="1"/>
    <x:col min="5" max="5" width="13" hidden="0" customWidth="1"/>
    <x:col min="6" max="6" width="15" hidden="0" customWidth="1"/>
    <x:col min="7" max="7" width="20" hidden="0" customWidth="1"/>
    <x:col min="8" max="8" width="28" hidden="0" customWidth="1"/>
    <x:col min="9" max="9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Checklist komponen TwoTrash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 t="str">
        <x:v>Pi Zero + 2 DRV8825 • PCB TT-PZ2 • Tanpa WS2812 / IC buffer • 26 Oktober 2026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 t="str">
        <x:v>Pilih status pada kolom kuning. “Siap” berarti jumlah lengkap sudah ada dan sesuai spesifikasi.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 t="str">
        <x:v>Keranjang belum berarti dibeli. “Tidak perlu” = tidak dibeli untuk TT-PZ2. Jumlah kosong perlu diukur.</x:v>
      </x:c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4" t="str">
        <x:v>Sumber: docs/pcb/bom.csv, docs/wiring.md, docs/3d/external-gears/CATATAN.txt dan keputusan di chat.</x:v>
      </x:c>
      <x:c r="B6" s="4"/>
      <x:c r="C6" s="4"/>
      <x:c r="D6" s="4"/>
      <x:c r="E6" s="4"/>
      <x:c r="F6" s="4"/>
      <x:c r="G6" s="4"/>
      <x:c r="H6" s="4"/>
      <x:c r="I6" s="4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28" customHeight="1">
      <x:c r="A8" s="5"/>
      <x:c r="B8" s="5" t="str">
        <x:v>Jenis diperlukan</x:v>
      </x:c>
      <x:c r="C8" s="5" t="n">
        <x:f>COUNTIFS(G10:G73,"&lt;&gt;Tidak perlu")</x:f>
        <x:v>58</x:v>
      </x:c>
      <x:c r="D8" s="5" t="str">
        <x:v>Sudah siap</x:v>
      </x:c>
      <x:c r="E8" s="5" t="n">
        <x:f>COUNTIFS(G10:G73,"Siap")</x:f>
        <x:v>0</x:v>
      </x:c>
      <x:c r="F8" s="5" t="str">
        <x:v>Di keranjang</x:v>
      </x:c>
      <x:c r="G8" s="5" t="n">
        <x:f>COUNTIFS(G10:G73,"Di keranjang")</x:f>
        <x:v>1</x:v>
      </x:c>
      <x:c r="H8" s="5" t="str">
        <x:v>Belum siap</x:v>
      </x:c>
      <x:c r="I8" s="5" t="n">
        <x:f>C8-E8</x:f>
        <x:v>58</x:v>
      </x:c>
    </x:row>
    <x:row r="9" ht="30" customHeight="1">
      <x:c r="A9" s="8" t="str">
        <x:v>No.</x:v>
      </x:c>
      <x:c r="B9" s="8" t="str">
        <x:v>Kategori</x:v>
      </x:c>
      <x:c r="C9" s="8" t="str">
        <x:v>Komponen</x:v>
      </x:c>
      <x:c r="D9" s="8" t="str">
        <x:v>Spesifikasi</x:v>
      </x:c>
      <x:c r="E9" s="8" t="str">
        <x:v>Kebutuhan</x:v>
      </x:c>
      <x:c r="F9" s="8" t="str">
        <x:v>Satuan</x:v>
      </x:c>
      <x:c r="G9" s="8" t="str">
        <x:v>Status checklist</x:v>
      </x:c>
      <x:c r="H9" s="8" t="str">
        <x:v>Toko / link</x:v>
      </x:c>
      <x:c r="I9" s="8" t="str">
        <x:v>Catatan</x:v>
      </x:c>
    </x:row>
    <x:row r="10" ht="48" customHeight="1">
      <x:c r="A10" s="2" t="n">
        <x:v>1</x:v>
      </x:c>
      <x:c r="B10" s="9" t="str">
        <x:v>Penggerak</x:v>
      </x:c>
      <x:c r="C10" s="9" t="str">
        <x:v>Motor NEMA17</x:v>
      </x:c>
      <x:c r="D10" s="9" t="str">
        <x:v>42HD4027-01; 1,5 A/fase; poros bulat Ø5 mm</x:v>
      </x:c>
      <x:c r="E10" s="10" t="n">
        <x:v>2</x:v>
      </x:c>
      <x:c r="F10" s="2" t="str">
        <x:v>buah</x:v>
      </x:c>
      <x:c r="G10" s="11" t="str">
        <x:v>Di keranjang</x:v>
      </x:c>
      <x:c r="H10" s="12" t="str"/>
      <x:c r="I10" s="9" t="str">
        <x:v>Catatan sesi 26/10/2026: 2 motor di keranjang, belum checkout.</x:v>
      </x:c>
    </x:row>
    <x:row r="11" ht="48" customHeight="1">
      <x:c r="A11" s="2" t="n">
        <x:v>2</x:v>
      </x:c>
      <x:c r="B11" s="9" t="str">
        <x:v>Penggerak</x:v>
      </x:c>
      <x:c r="C11" s="9" t="str">
        <x:v>Driver DRV8825 + heatsink</x:v>
      </x:c>
      <x:c r="D11" s="9" t="str">
        <x:v>Pinout Pololu 2133; 2×8 pin; antarbaris 15,24 mm</x:v>
      </x:c>
      <x:c r="E11" s="10" t="n">
        <x:v>2</x:v>
      </x:c>
      <x:c r="F11" s="2" t="str">
        <x:v>set</x:v>
      </x:c>
      <x:c r="G11" s="11" t="str">
        <x:v>Belum dibeli</x:v>
      </x:c>
      <x:c r="H11" s="12" t="str"/>
      <x:c r="I11" s="9" t="str">
        <x:v>Pilih DRV8825. Tidak perlu papan Extension Driver.</x:v>
      </x:c>
    </x:row>
    <x:row r="12" ht="48" customHeight="1">
      <x:c r="A12" s="2" t="n">
        <x:v>3</x:v>
      </x:c>
      <x:c r="B12" s="9" t="str">
        <x:v>Penggerak</x:v>
      </x:c>
      <x:c r="C12" s="9" t="str">
        <x:v>Soket female driver</x:v>
      </x:c>
      <x:c r="D12" s="9" t="str">
        <x:v>1×8; pitch 2,54 mm; tinggi ≥8,5 mm; ≥2 A/kontak</x:v>
      </x:c>
      <x:c r="E12" s="10" t="n">
        <x:v>4</x:v>
      </x:c>
      <x:c r="F12" s="2" t="str">
        <x:v>buah</x:v>
      </x:c>
      <x:c r="G12" s="11" t="str">
        <x:v>Cek stok</x:v>
      </x:c>
      <x:c r="H12" s="12" t="str"/>
      <x:c r="I12" s="9" t="str"/>
    </x:row>
    <x:row r="13" ht="48" customHeight="1">
      <x:c r="A13" s="2" t="n">
        <x:v>4</x:v>
      </x:c>
      <x:c r="B13" s="9" t="str">
        <x:v>Penggerak</x:v>
      </x:c>
      <x:c r="C13" s="9" t="str">
        <x:v>Microswitch home</x:v>
      </x:c>
      <x:c r="D13" s="9" t="str">
        <x:v>Terminal COM dan NC</x:v>
      </x:c>
      <x:c r="E13" s="10" t="n">
        <x:v>2</x:v>
      </x:c>
      <x:c r="F13" s="2" t="str">
        <x:v>buah</x:v>
      </x:c>
      <x:c r="G13" s="11" t="str">
        <x:v>Cek stok</x:v>
      </x:c>
      <x:c r="H13" s="12" t="str"/>
      <x:c r="I13" s="9" t="str"/>
    </x:row>
    <x:row r="14" ht="48" customHeight="1">
      <x:c r="A14" s="2" t="n">
        <x:v>5</x:v>
      </x:c>
      <x:c r="B14" s="9" t="str">
        <x:v>PCB elektronik</x:v>
      </x:c>
      <x:c r="C14" s="9" t="str">
        <x:v>IC buffer</x:v>
      </x:c>
      <x:c r="D14" s="9" t="str">
        <x:v>SN74AHCT125N, DIP14</x:v>
      </x:c>
      <x:c r="E14" s="10" t="n">
        <x:v>0</x:v>
      </x:c>
      <x:c r="F14" s="2" t="str">
        <x:v>buah</x:v>
      </x:c>
      <x:c r="G14" s="11" t="str">
        <x:v>Tidak perlu</x:v>
      </x:c>
      <x:c r="H14" s="12" t="str"/>
      <x:c r="I14" s="9" t="str">
        <x:v>Dihapus pada TT-PZ2: tanpa ring WS2812 dan IC buffer.</x:v>
      </x:c>
    </x:row>
    <x:row r="15" ht="48" customHeight="1">
      <x:c r="A15" s="2" t="n">
        <x:v>6</x:v>
      </x:c>
      <x:c r="B15" s="9" t="str">
        <x:v>PCB elektronik</x:v>
      </x:c>
      <x:c r="C15" s="9" t="str">
        <x:v>Soket IC</x:v>
      </x:c>
      <x:c r="D15" s="9" t="str">
        <x:v>DIP14; lebar 7,62 mm</x:v>
      </x:c>
      <x:c r="E15" s="10" t="n">
        <x:v>0</x:v>
      </x:c>
      <x:c r="F15" s="2" t="str">
        <x:v>buah</x:v>
      </x:c>
      <x:c r="G15" s="11" t="str">
        <x:v>Tidak perlu</x:v>
      </x:c>
      <x:c r="H15" s="12" t="str"/>
      <x:c r="I15" s="9" t="str">
        <x:v>Dihapus pada TT-PZ2: tanpa ring WS2812 dan IC buffer.</x:v>
      </x:c>
    </x:row>
    <x:row r="16" ht="48" customHeight="1">
      <x:c r="A16" s="2" t="n">
        <x:v>7</x:v>
      </x:c>
      <x:c r="B16" s="9" t="str">
        <x:v>PCB elektronik</x:v>
      </x:c>
      <x:c r="C16" s="9" t="str">
        <x:v>Transistor</x:v>
      </x:c>
      <x:c r="D16" s="9" t="str">
        <x:v>2N3904, TO-92</x:v>
      </x:c>
      <x:c r="E16" s="10" t="n">
        <x:v>1</x:v>
      </x:c>
      <x:c r="F16" s="2" t="str">
        <x:v>buah</x:v>
      </x:c>
      <x:c r="G16" s="11" t="str">
        <x:v>Cek stok</x:v>
      </x:c>
      <x:c r="H16" s="12" t="str"/>
      <x:c r="I16" s="9" t="str">
        <x:v>Periksa urutan E-B-C.</x:v>
      </x:c>
    </x:row>
    <x:row r="17" ht="48" customHeight="1">
      <x:c r="A17" s="2" t="n">
        <x:v>8</x:v>
      </x:c>
      <x:c r="B17" s="9" t="str">
        <x:v>PCB elektronik</x:v>
      </x:c>
      <x:c r="C17" s="9" t="str">
        <x:v>Dioda</x:v>
      </x:c>
      <x:c r="D17" s="9" t="str">
        <x:v>1N4148</x:v>
      </x:c>
      <x:c r="E17" s="10" t="n">
        <x:v>1</x:v>
      </x:c>
      <x:c r="F17" s="2" t="str">
        <x:v>buah</x:v>
      </x:c>
      <x:c r="G17" s="11" t="str">
        <x:v>Cek stok</x:v>
      </x:c>
      <x:c r="H17" s="12" t="str"/>
      <x:c r="I17" s="9" t="str"/>
    </x:row>
    <x:row r="18" ht="48" customHeight="1">
      <x:c r="A18" s="2" t="n">
        <x:v>9</x:v>
      </x:c>
      <x:c r="B18" s="9" t="str">
        <x:v>PCB elektronik</x:v>
      </x:c>
      <x:c r="C18" s="9" t="str">
        <x:v>Resistor 330 Ω</x:v>
      </x:c>
      <x:c r="D18" s="9" t="str">
        <x:v>Metal film ¼ W; toleransi 1%</x:v>
      </x:c>
      <x:c r="E18" s="10" t="n">
        <x:v>2</x:v>
      </x:c>
      <x:c r="F18" s="2" t="str">
        <x:v>buah</x:v>
      </x:c>
      <x:c r="G18" s="11" t="str">
        <x:v>Cek stok</x:v>
      </x:c>
      <x:c r="H18" s="12" t="str"/>
      <x:c r="I18" s="9" t="str"/>
    </x:row>
    <x:row r="19" ht="48" customHeight="1">
      <x:c r="A19" s="2" t="n">
        <x:v>10</x:v>
      </x:c>
      <x:c r="B19" s="9" t="str">
        <x:v>PCB elektronik</x:v>
      </x:c>
      <x:c r="C19" s="9" t="str">
        <x:v>Resistor 1 kΩ</x:v>
      </x:c>
      <x:c r="D19" s="9" t="str">
        <x:v>Metal film ¼ W; toleransi 1%</x:v>
      </x:c>
      <x:c r="E19" s="10" t="n">
        <x:v>1</x:v>
      </x:c>
      <x:c r="F19" s="2" t="str">
        <x:v>buah</x:v>
      </x:c>
      <x:c r="G19" s="11" t="str">
        <x:v>Cek stok</x:v>
      </x:c>
      <x:c r="H19" s="12" t="str"/>
      <x:c r="I19" s="9" t="str"/>
    </x:row>
    <x:row r="20" ht="48" customHeight="1">
      <x:c r="A20" s="2" t="n">
        <x:v>11</x:v>
      </x:c>
      <x:c r="B20" s="9" t="str">
        <x:v>PCB elektronik</x:v>
      </x:c>
      <x:c r="C20" s="9" t="str">
        <x:v>Resistor 2,2 kΩ</x:v>
      </x:c>
      <x:c r="D20" s="9" t="str">
        <x:v>Metal film ¼ W; toleransi 1%</x:v>
      </x:c>
      <x:c r="E20" s="10" t="n">
        <x:v>2</x:v>
      </x:c>
      <x:c r="F20" s="2" t="str">
        <x:v>buah</x:v>
      </x:c>
      <x:c r="G20" s="11" t="str">
        <x:v>Cek stok</x:v>
      </x:c>
      <x:c r="H20" s="12" t="str"/>
      <x:c r="I20" s="9" t="str"/>
    </x:row>
    <x:row r="21" ht="48" customHeight="1">
      <x:c r="A21" s="2" t="n">
        <x:v>12</x:v>
      </x:c>
      <x:c r="B21" s="9" t="str">
        <x:v>PCB elektronik</x:v>
      </x:c>
      <x:c r="C21" s="9" t="str">
        <x:v>Resistor 2,7 kΩ</x:v>
      </x:c>
      <x:c r="D21" s="9" t="str">
        <x:v>Metal film ¼ W; toleransi 1%</x:v>
      </x:c>
      <x:c r="E21" s="10" t="n">
        <x:v>1</x:v>
      </x:c>
      <x:c r="F21" s="2" t="str">
        <x:v>buah</x:v>
      </x:c>
      <x:c r="G21" s="11" t="str">
        <x:v>Cek stok</x:v>
      </x:c>
      <x:c r="H21" s="12" t="str"/>
      <x:c r="I21" s="9" t="str"/>
    </x:row>
    <x:row r="22" ht="48" customHeight="1">
      <x:c r="A22" s="2" t="n">
        <x:v>13</x:v>
      </x:c>
      <x:c r="B22" s="9" t="str">
        <x:v>PCB elektronik</x:v>
      </x:c>
      <x:c r="C22" s="9" t="str">
        <x:v>Resistor 10 kΩ</x:v>
      </x:c>
      <x:c r="D22" s="9" t="str">
        <x:v>Metal film ¼ W; toleransi 1%</x:v>
      </x:c>
      <x:c r="E22" s="10" t="n">
        <x:v>3</x:v>
      </x:c>
      <x:c r="F22" s="2" t="str">
        <x:v>buah</x:v>
      </x:c>
      <x:c r="G22" s="11" t="str">
        <x:v>Cek stok</x:v>
      </x:c>
      <x:c r="H22" s="12" t="str"/>
      <x:c r="I22" s="9" t="str"/>
    </x:row>
    <x:row r="23" ht="48" customHeight="1">
      <x:c r="A23" s="2" t="n">
        <x:v>14</x:v>
      </x:c>
      <x:c r="B23" s="9" t="str">
        <x:v>PCB elektronik</x:v>
      </x:c>
      <x:c r="C23" s="9" t="str">
        <x:v>Resistor 100 kΩ</x:v>
      </x:c>
      <x:c r="D23" s="9" t="str">
        <x:v>Metal film ¼ W; toleransi 1%</x:v>
      </x:c>
      <x:c r="E23" s="10" t="n">
        <x:v>1</x:v>
      </x:c>
      <x:c r="F23" s="2" t="str">
        <x:v>buah</x:v>
      </x:c>
      <x:c r="G23" s="11" t="str">
        <x:v>Cek stok</x:v>
      </x:c>
      <x:c r="H23" s="12" t="str"/>
      <x:c r="I23" s="9" t="str"/>
    </x:row>
    <x:row r="24" ht="48" customHeight="1">
      <x:c r="A24" s="2" t="n">
        <x:v>15</x:v>
      </x:c>
      <x:c r="B24" s="9" t="str">
        <x:v>PCB elektronik</x:v>
      </x:c>
      <x:c r="C24" s="9" t="str">
        <x:v>Kapasitor keramik</x:v>
      </x:c>
      <x:c r="D24" s="9" t="str">
        <x:v>100 nF / kode 104; pitch 2,54 mm</x:v>
      </x:c>
      <x:c r="E24" s="10" t="n">
        <x:v>2</x:v>
      </x:c>
      <x:c r="F24" s="2" t="str">
        <x:v>buah</x:v>
      </x:c>
      <x:c r="G24" s="11" t="str">
        <x:v>Cek stok</x:v>
      </x:c>
      <x:c r="H24" s="12" t="str"/>
      <x:c r="I24" s="9" t="str"/>
    </x:row>
    <x:row r="25" ht="48" customHeight="1">
      <x:c r="A25" s="2" t="n">
        <x:v>16</x:v>
      </x:c>
      <x:c r="B25" s="9" t="str">
        <x:v>PCB elektronik</x:v>
      </x:c>
      <x:c r="C25" s="9" t="str">
        <x:v>Elko motor</x:v>
      </x:c>
      <x:c r="D25" s="9" t="str">
        <x:v>100 µF 35 V</x:v>
      </x:c>
      <x:c r="E25" s="10" t="n">
        <x:v>2</x:v>
      </x:c>
      <x:c r="F25" s="2" t="str">
        <x:v>buah</x:v>
      </x:c>
      <x:c r="G25" s="11" t="str">
        <x:v>Cek stok</x:v>
      </x:c>
      <x:c r="H25" s="12" t="str"/>
      <x:c r="I25" s="9" t="str">
        <x:v>Cocokkan ukuran badan dengan pola PCB.</x:v>
      </x:c>
    </x:row>
    <x:row r="26" ht="48" customHeight="1">
      <x:c r="A26" s="2" t="n">
        <x:v>17</x:v>
      </x:c>
      <x:c r="B26" s="9" t="str">
        <x:v>PCB elektronik</x:v>
      </x:c>
      <x:c r="C26" s="9" t="str">
        <x:v>Elko ring LED</x:v>
      </x:c>
      <x:c r="D26" s="9" t="str">
        <x:v>1000 µF 16 V</x:v>
      </x:c>
      <x:c r="E26" s="10" t="n">
        <x:v>0</x:v>
      </x:c>
      <x:c r="F26" s="2" t="str">
        <x:v>buah</x:v>
      </x:c>
      <x:c r="G26" s="11" t="str">
        <x:v>Tidak perlu</x:v>
      </x:c>
      <x:c r="H26" s="12" t="str"/>
      <x:c r="I26" s="9" t="str">
        <x:v>Dihapus pada TT-PZ2: tanpa ring WS2812 dan IC buffer.</x:v>
      </x:c>
    </x:row>
    <x:row r="27" ht="48" customHeight="1">
      <x:c r="A27" s="2" t="n">
        <x:v>18</x:v>
      </x:c>
      <x:c r="B27" s="9" t="str">
        <x:v>Konektor &amp; PCB</x:v>
      </x:c>
      <x:c r="C27" s="9" t="str">
        <x:v>PCB polos</x:v>
      </x:c>
      <x:c r="D27" s="9" t="str">
        <x:v>FR4 satu sisi; minimal 140×100 mm; tembaga 1 oz</x:v>
      </x:c>
      <x:c r="E27" s="10" t="n">
        <x:v>1</x:v>
      </x:c>
      <x:c r="F27" s="2" t="str">
        <x:v>lembar</x:v>
      </x:c>
      <x:c r="G27" s="11" t="str">
        <x:v>Cek stok</x:v>
      </x:c>
      <x:c r="H27" s="12" t="str"/>
      <x:c r="I27" s="9" t="str"/>
    </x:row>
    <x:row r="28" ht="48" customHeight="1">
      <x:c r="A28" s="2" t="n">
        <x:v>19</x:v>
      </x:c>
      <x:c r="B28" s="9" t="str">
        <x:v>Konektor &amp; PCB</x:v>
      </x:c>
      <x:c r="C28" s="9" t="str">
        <x:v>Header IDC GPIO</x:v>
      </x:c>
      <x:c r="D28" s="9" t="str">
        <x:v>2×20 pin; pitch 2,54 mm</x:v>
      </x:c>
      <x:c r="E28" s="10" t="n">
        <x:v>1</x:v>
      </x:c>
      <x:c r="F28" s="2" t="str">
        <x:v>buah</x:v>
      </x:c>
      <x:c r="G28" s="11" t="str">
        <x:v>Cek stok</x:v>
      </x:c>
      <x:c r="H28" s="12" t="str"/>
      <x:c r="I28" s="9" t="str"/>
    </x:row>
    <x:row r="29" ht="48" customHeight="1">
      <x:c r="A29" s="2" t="n">
        <x:v>20</x:v>
      </x:c>
      <x:c r="B29" s="9" t="str">
        <x:v>Konektor &amp; PCB</x:v>
      </x:c>
      <x:c r="C29" s="9" t="str">
        <x:v>Kabel pita IDC</x:v>
      </x:c>
      <x:c r="D29" s="9" t="str">
        <x:v>40 pin female–female; 1-ke-1; sekitar 10–15 cm</x:v>
      </x:c>
      <x:c r="E29" s="10" t="n">
        <x:v>1</x:v>
      </x:c>
      <x:c r="F29" s="2" t="str">
        <x:v>buah</x:v>
      </x:c>
      <x:c r="G29" s="11" t="str">
        <x:v>Cek stok</x:v>
      </x:c>
      <x:c r="H29" s="12" t="str"/>
      <x:c r="I29" s="9" t="str"/>
    </x:row>
    <x:row r="30" ht="48" customHeight="1">
      <x:c r="A30" s="2" t="n">
        <x:v>21</x:v>
      </x:c>
      <x:c r="B30" s="9" t="str">
        <x:v>Konektor &amp; PCB</x:v>
      </x:c>
      <x:c r="C30" s="9" t="str">
        <x:v>Header male 1×4</x:v>
      </x:c>
      <x:c r="D30" s="9" t="str">
        <x:v>Pitch 2,54 mm</x:v>
      </x:c>
      <x:c r="E30" s="10" t="n">
        <x:v>2</x:v>
      </x:c>
      <x:c r="F30" s="2" t="str">
        <x:v>buah</x:v>
      </x:c>
      <x:c r="G30" s="11" t="str">
        <x:v>Cek stok</x:v>
      </x:c>
      <x:c r="H30" s="12" t="str"/>
      <x:c r="I30" s="9" t="str"/>
    </x:row>
    <x:row r="31" ht="48" customHeight="1">
      <x:c r="A31" s="2" t="n">
        <x:v>22</x:v>
      </x:c>
      <x:c r="B31" s="9" t="str">
        <x:v>Konektor &amp; PCB</x:v>
      </x:c>
      <x:c r="C31" s="9" t="str">
        <x:v>Header male 1×2</x:v>
      </x:c>
      <x:c r="D31" s="9" t="str">
        <x:v>Pitch 2,54 mm</x:v>
      </x:c>
      <x:c r="E31" s="10" t="n">
        <x:v>6</x:v>
      </x:c>
      <x:c r="F31" s="2" t="str">
        <x:v>buah</x:v>
      </x:c>
      <x:c r="G31" s="11" t="str">
        <x:v>Cek stok</x:v>
      </x:c>
      <x:c r="H31" s="12" t="str"/>
      <x:c r="I31" s="9" t="str"/>
    </x:row>
    <x:row r="32" ht="48" customHeight="1">
      <x:c r="A32" s="2" t="n">
        <x:v>23</x:v>
      </x:c>
      <x:c r="B32" s="9" t="str">
        <x:v>Konektor &amp; PCB</x:v>
      </x:c>
      <x:c r="C32" s="9" t="str">
        <x:v>Jumper cap / shunt</x:v>
      </x:c>
      <x:c r="D32" s="9" t="str">
        <x:v>Untuk JARM; pitch 2,54 mm</x:v>
      </x:c>
      <x:c r="E32" s="10" t="n">
        <x:v>1</x:v>
      </x:c>
      <x:c r="F32" s="2" t="str">
        <x:v>buah</x:v>
      </x:c>
      <x:c r="G32" s="11" t="str">
        <x:v>Cek stok</x:v>
      </x:c>
      <x:c r="H32" s="12" t="str"/>
      <x:c r="I32" s="9" t="str">
        <x:v>JARM tetap terbuka sampai firmware stepper siap.</x:v>
      </x:c>
    </x:row>
    <x:row r="33" ht="48" customHeight="1">
      <x:c r="A33" s="2" t="n">
        <x:v>24</x:v>
      </x:c>
      <x:c r="B33" s="9" t="str">
        <x:v>Konektor &amp; PCB</x:v>
      </x:c>
      <x:c r="C33" s="9" t="str">
        <x:v>Terminal sekrup 2 pin</x:v>
      </x:c>
      <x:c r="D33" s="9" t="str">
        <x:v>Pitch 5,08 mm</x:v>
      </x:c>
      <x:c r="E33" s="10" t="n">
        <x:v>2</x:v>
      </x:c>
      <x:c r="F33" s="2" t="str">
        <x:v>buah</x:v>
      </x:c>
      <x:c r="G33" s="11" t="str">
        <x:v>Cek stok</x:v>
      </x:c>
      <x:c r="H33" s="12" t="str"/>
      <x:c r="I33" s="9" t="str"/>
    </x:row>
    <x:row r="34" ht="48" customHeight="1">
      <x:c r="A34" s="2" t="n">
        <x:v>25</x:v>
      </x:c>
      <x:c r="B34" s="9" t="str">
        <x:v>Konektor &amp; PCB</x:v>
      </x:c>
      <x:c r="C34" s="9" t="str">
        <x:v>Terminal sekrup 3 pin</x:v>
      </x:c>
      <x:c r="D34" s="9" t="str">
        <x:v>Pitch 5,08 mm</x:v>
      </x:c>
      <x:c r="E34" s="10" t="n">
        <x:v>0</x:v>
      </x:c>
      <x:c r="F34" s="2" t="str">
        <x:v>buah</x:v>
      </x:c>
      <x:c r="G34" s="11" t="str">
        <x:v>Tidak perlu</x:v>
      </x:c>
      <x:c r="H34" s="12" t="str"/>
      <x:c r="I34" s="9" t="str">
        <x:v>Dihapus pada TT-PZ2: tanpa ring WS2812 dan IC buffer.</x:v>
      </x:c>
    </x:row>
    <x:row r="35" ht="48" customHeight="1">
      <x:c r="A35" s="2" t="n">
        <x:v>26</x:v>
      </x:c>
      <x:c r="B35" s="9" t="str">
        <x:v>Konektor &amp; PCB</x:v>
      </x:c>
      <x:c r="C35" s="9" t="str">
        <x:v>Terminal sekrup 4 pin</x:v>
      </x:c>
      <x:c r="D35" s="9" t="str">
        <x:v>Pitch 5,08 mm</x:v>
      </x:c>
      <x:c r="E35" s="10" t="n">
        <x:v>2</x:v>
      </x:c>
      <x:c r="F35" s="2" t="str">
        <x:v>buah</x:v>
      </x:c>
      <x:c r="G35" s="11" t="str">
        <x:v>Cek stok</x:v>
      </x:c>
      <x:c r="H35" s="12" t="str"/>
      <x:c r="I35" s="9" t="str"/>
    </x:row>
    <x:row r="36" ht="48" customHeight="1">
      <x:c r="A36" s="2" t="n">
        <x:v>27</x:v>
      </x:c>
      <x:c r="B36" s="9" t="str">
        <x:v>Konektor &amp; PCB</x:v>
      </x:c>
      <x:c r="C36" s="9" t="str">
        <x:v>Kawat jumper berisolasi</x:v>
      </x:c>
      <x:c r="D36" s="9" t="str">
        <x:v>AWG22 untuk daya/GND; AWG26 untuk sinyal</x:v>
      </x:c>
      <x:c r="E36" s="10" t="n">
        <x:v>22</x:v>
      </x:c>
      <x:c r="F36" s="2" t="str">
        <x:v>potong</x:v>
      </x:c>
      <x:c r="G36" s="11" t="str">
        <x:v>Cek stok</x:v>
      </x:c>
      <x:c r="H36" s="12" t="str"/>
      <x:c r="I36" s="9" t="str">
        <x:v>22 sambungan W01-W22; panjang mengikuti jumpers.csv TT-PZ2.</x:v>
      </x:c>
    </x:row>
    <x:row r="37" ht="48" customHeight="1">
      <x:c r="A37" s="2" t="n">
        <x:v>28</x:v>
      </x:c>
      <x:c r="B37" s="9" t="str">
        <x:v>Konektor &amp; PCB</x:v>
      </x:c>
      <x:c r="C37" s="9" t="str">
        <x:v>Kabel + konektor periferal</x:v>
      </x:c>
      <x:c r="D37" s="9" t="str">
        <x:v>Pasangan konektor sensor, LED, buzzer dan home</x:v>
      </x:c>
      <x:c r="E37" s="10" t="n">
        <x:v>1</x:v>
      </x:c>
      <x:c r="F37" s="2" t="str">
        <x:v>set</x:v>
      </x:c>
      <x:c r="G37" s="11" t="str">
        <x:v>Cek stok</x:v>
      </x:c>
      <x:c r="H37" s="12" t="str"/>
      <x:c r="I37" s="9" t="str"/>
    </x:row>
    <x:row r="38" ht="48" customHeight="1">
      <x:c r="A38" s="2" t="n">
        <x:v>29</x:v>
      </x:c>
      <x:c r="B38" s="9" t="str">
        <x:v>Konektor &amp; PCB</x:v>
      </x:c>
      <x:c r="C38" s="9" t="str">
        <x:v>Kabel motor</x:v>
      </x:c>
      <x:c r="D38" s="9" t="str">
        <x:v>Tembaga sekitar 0,5 mm²; pasangan lilitan dipilin</x:v>
      </x:c>
      <x:c r="E38" s="10"/>
      <x:c r="F38" s="2" t="str">
        <x:v>meter</x:v>
      </x:c>
      <x:c r="G38" s="11" t="str">
        <x:v>Cek stok</x:v>
      </x:c>
      <x:c r="H38" s="12" t="str"/>
      <x:c r="I38" s="9" t="str">
        <x:v>Ukur kebutuhan panjang pada rakitan.</x:v>
      </x:c>
    </x:row>
    <x:row r="39" ht="48" customHeight="1">
      <x:c r="A39" s="2" t="n">
        <x:v>30</x:v>
      </x:c>
      <x:c r="B39" s="9" t="str">
        <x:v>Konektor &amp; PCB</x:v>
      </x:c>
      <x:c r="C39" s="9" t="str">
        <x:v>Kabel suplai 12 V</x:v>
      </x:c>
      <x:c r="D39" s="9" t="str">
        <x:v>Tembaga sekitar 0,75 mm²</x:v>
      </x:c>
      <x:c r="E39" s="10"/>
      <x:c r="F39" s="2" t="str">
        <x:v>meter</x:v>
      </x:c>
      <x:c r="G39" s="11" t="str">
        <x:v>Cek stok</x:v>
      </x:c>
      <x:c r="H39" s="12" t="str"/>
      <x:c r="I39" s="9" t="str">
        <x:v>Ukur kebutuhan panjang pada rakitan.</x:v>
      </x:c>
    </x:row>
    <x:row r="40" ht="48" customHeight="1">
      <x:c r="A40" s="2" t="n">
        <x:v>31</x:v>
      </x:c>
      <x:c r="B40" s="9" t="str">
        <x:v>Konektor &amp; PCB</x:v>
      </x:c>
      <x:c r="C40" s="9" t="str">
        <x:v>Kabel suplai ring LED</x:v>
      </x:c>
      <x:c r="D40" s="9" t="str">
        <x:v>Tembaga sekitar 0,5 mm²</x:v>
      </x:c>
      <x:c r="E40" s="10" t="n">
        <x:v>0</x:v>
      </x:c>
      <x:c r="F40" s="2" t="str">
        <x:v>meter</x:v>
      </x:c>
      <x:c r="G40" s="11" t="str">
        <x:v>Tidak perlu</x:v>
      </x:c>
      <x:c r="H40" s="12" t="str"/>
      <x:c r="I40" s="9" t="str">
        <x:v>Dihapus pada TT-PZ2: tanpa ring WS2812 dan IC buffer.</x:v>
      </x:c>
    </x:row>
    <x:row r="41" ht="48" customHeight="1">
      <x:c r="A41" s="2" t="n">
        <x:v>32</x:v>
      </x:c>
      <x:c r="B41" s="9" t="str">
        <x:v>Bahan &amp; alat</x:v>
      </x:c>
      <x:c r="C41" s="9" t="str">
        <x:v>Timah solder</x:v>
      </x:c>
      <x:c r="D41" s="9" t="str">
        <x:v>Untuk komponen through-hole</x:v>
      </x:c>
      <x:c r="E41" s="10"/>
      <x:c r="F41" s="2" t="str">
        <x:v>secukupnya</x:v>
      </x:c>
      <x:c r="G41" s="11" t="str">
        <x:v>Cek stok</x:v>
      </x:c>
      <x:c r="H41" s="12" t="str"/>
      <x:c r="I41" s="9" t="str"/>
    </x:row>
    <x:row r="42" ht="48" customHeight="1">
      <x:c r="A42" s="2" t="n">
        <x:v>33</x:v>
      </x:c>
      <x:c r="B42" s="9" t="str">
        <x:v>Bahan &amp; alat</x:v>
      </x:c>
      <x:c r="C42" s="9" t="str">
        <x:v>Flux solder</x:v>
      </x:c>
      <x:c r="D42" s="9" t="str">
        <x:v>Untuk perakitan PCB</x:v>
      </x:c>
      <x:c r="E42" s="10"/>
      <x:c r="F42" s="2" t="str">
        <x:v>secukupnya</x:v>
      </x:c>
      <x:c r="G42" s="11" t="str">
        <x:v>Cek stok</x:v>
      </x:c>
      <x:c r="H42" s="12" t="str"/>
      <x:c r="I42" s="9" t="str"/>
    </x:row>
    <x:row r="43" ht="48" customHeight="1">
      <x:c r="A43" s="2" t="n">
        <x:v>34</x:v>
      </x:c>
      <x:c r="B43" s="9" t="str">
        <x:v>Bahan &amp; alat</x:v>
      </x:c>
      <x:c r="C43" s="9" t="str">
        <x:v>Bahan transfer toner dan etsa</x:v>
      </x:c>
      <x:c r="D43" s="9" t="str">
        <x:v>Untuk PCB satu sisi</x:v>
      </x:c>
      <x:c r="E43" s="10" t="n">
        <x:v>1</x:v>
      </x:c>
      <x:c r="F43" s="2" t="str">
        <x:v>set</x:v>
      </x:c>
      <x:c r="G43" s="11" t="str">
        <x:v>Cek stok</x:v>
      </x:c>
      <x:c r="H43" s="12" t="str"/>
      <x:c r="I43" s="9" t="str"/>
    </x:row>
    <x:row r="44" ht="48" customHeight="1">
      <x:c r="A44" s="2" t="n">
        <x:v>35</x:v>
      </x:c>
      <x:c r="B44" s="9" t="str">
        <x:v>Bahan &amp; alat</x:v>
      </x:c>
      <x:c r="C44" s="9" t="str">
        <x:v>Mata bor Ø1,0 mm</x:v>
      </x:c>
      <x:c r="D44" s="9" t="str">
        <x:v>Untuk lubang PCB</x:v>
      </x:c>
      <x:c r="E44" s="10" t="n">
        <x:v>1</x:v>
      </x:c>
      <x:c r="F44" s="2" t="str">
        <x:v>buah</x:v>
      </x:c>
      <x:c r="G44" s="11" t="str">
        <x:v>Cek stok</x:v>
      </x:c>
      <x:c r="H44" s="12" t="str"/>
      <x:c r="I44" s="9" t="str"/>
    </x:row>
    <x:row r="45" ht="48" customHeight="1">
      <x:c r="A45" s="2" t="n">
        <x:v>36</x:v>
      </x:c>
      <x:c r="B45" s="9" t="str">
        <x:v>Bahan &amp; alat</x:v>
      </x:c>
      <x:c r="C45" s="9" t="str">
        <x:v>Mata bor Ø1,2 mm</x:v>
      </x:c>
      <x:c r="D45" s="9" t="str">
        <x:v>Untuk lubang PCB</x:v>
      </x:c>
      <x:c r="E45" s="10" t="n">
        <x:v>1</x:v>
      </x:c>
      <x:c r="F45" s="2" t="str">
        <x:v>buah</x:v>
      </x:c>
      <x:c r="G45" s="11" t="str">
        <x:v>Cek stok</x:v>
      </x:c>
      <x:c r="H45" s="12" t="str"/>
      <x:c r="I45" s="9" t="str"/>
    </x:row>
    <x:row r="46" ht="48" customHeight="1">
      <x:c r="A46" s="2" t="n">
        <x:v>37</x:v>
      </x:c>
      <x:c r="B46" s="9" t="str">
        <x:v>Bahan &amp; alat</x:v>
      </x:c>
      <x:c r="C46" s="9" t="str">
        <x:v>Mata bor Ø3,2 mm</x:v>
      </x:c>
      <x:c r="D46" s="9" t="str">
        <x:v>Untuk lubang PCB</x:v>
      </x:c>
      <x:c r="E46" s="10" t="n">
        <x:v>1</x:v>
      </x:c>
      <x:c r="F46" s="2" t="str">
        <x:v>buah</x:v>
      </x:c>
      <x:c r="G46" s="11" t="str">
        <x:v>Cek stok</x:v>
      </x:c>
      <x:c r="H46" s="12" t="str"/>
      <x:c r="I46" s="9" t="str"/>
    </x:row>
    <x:row r="47" ht="48" customHeight="1">
      <x:c r="A47" s="2" t="n">
        <x:v>38</x:v>
      </x:c>
      <x:c r="B47" s="9" t="str">
        <x:v>Daya</x:v>
      </x:c>
      <x:c r="C47" s="9" t="str">
        <x:v>Adaptor motor</x:v>
      </x:c>
      <x:c r="D47" s="9" t="str">
        <x:v>DC teregulasi 12 V 3 A</x:v>
      </x:c>
      <x:c r="E47" s="10" t="n">
        <x:v>1</x:v>
      </x:c>
      <x:c r="F47" s="2" t="str">
        <x:v>buah</x:v>
      </x:c>
      <x:c r="G47" s="11" t="str">
        <x:v>Cek stok</x:v>
      </x:c>
      <x:c r="H47" s="12" t="str"/>
      <x:c r="I47" s="9" t="str"/>
    </x:row>
    <x:row r="48" ht="48" customHeight="1">
      <x:c r="A48" s="2" t="n">
        <x:v>39</x:v>
      </x:c>
      <x:c r="B48" s="9" t="str">
        <x:v>Daya</x:v>
      </x:c>
      <x:c r="C48" s="9" t="str">
        <x:v>Catu periferal / AUX</x:v>
      </x:c>
      <x:c r="D48" s="9" t="str">
        <x:v>DC teregulasi 5 V 2 A</x:v>
      </x:c>
      <x:c r="E48" s="10" t="n">
        <x:v>1</x:v>
      </x:c>
      <x:c r="F48" s="2" t="str">
        <x:v>buah</x:v>
      </x:c>
      <x:c r="G48" s="11" t="str">
        <x:v>Cek stok</x:v>
      </x:c>
      <x:c r="H48" s="12" t="str"/>
      <x:c r="I48" s="9" t="str">
        <x:v>Terpisah dari suplai USB Pi.</x:v>
      </x:c>
    </x:row>
    <x:row r="49" ht="48" customHeight="1">
      <x:c r="A49" s="2" t="n">
        <x:v>40</x:v>
      </x:c>
      <x:c r="B49" s="9" t="str">
        <x:v>Daya</x:v>
      </x:c>
      <x:c r="C49" s="9" t="str">
        <x:v>Catu USB Pi Zero</x:v>
      </x:c>
      <x:c r="D49" s="9" t="str">
        <x:v>5 V sesuai kebutuhan Pi dan webcam</x:v>
      </x:c>
      <x:c r="E49" s="10" t="n">
        <x:v>1</x:v>
      </x:c>
      <x:c r="F49" s="2" t="str">
        <x:v>buah</x:v>
      </x:c>
      <x:c r="G49" s="11" t="str">
        <x:v>Cek stok</x:v>
      </x:c>
      <x:c r="H49" s="12" t="str"/>
      <x:c r="I49" s="9" t="str">
        <x:v>Gunakan yang lama jika sesuai; masuk port PWR IN.</x:v>
      </x:c>
    </x:row>
    <x:row r="50" ht="48" customHeight="1">
      <x:c r="A50" s="2" t="n">
        <x:v>41</x:v>
      </x:c>
      <x:c r="B50" s="9" t="str">
        <x:v>Daya</x:v>
      </x:c>
      <x:c r="C50" s="9" t="str">
        <x:v>Sekring + holder inline</x:v>
      </x:c>
      <x:c r="D50" s="9" t="str">
        <x:v>2 A; untuk jalur positif 12 V</x:v>
      </x:c>
      <x:c r="E50" s="10" t="n">
        <x:v>1</x:v>
      </x:c>
      <x:c r="F50" s="2" t="str">
        <x:v>set</x:v>
      </x:c>
      <x:c r="G50" s="11" t="str">
        <x:v>Cek stok</x:v>
      </x:c>
      <x:c r="H50" s="12" t="str"/>
      <x:c r="I50" s="9" t="str"/>
    </x:row>
    <x:row r="51" ht="48" customHeight="1">
      <x:c r="A51" s="2" t="n">
        <x:v>42</x:v>
      </x:c>
      <x:c r="B51" s="9" t="str">
        <x:v>Daya</x:v>
      </x:c>
      <x:c r="C51" s="9" t="str">
        <x:v>Sekring + holder inline</x:v>
      </x:c>
      <x:c r="D51" s="9" t="str">
        <x:v>1,5 A; untuk jalur positif 5 V AUX</x:v>
      </x:c>
      <x:c r="E51" s="10" t="n">
        <x:v>1</x:v>
      </x:c>
      <x:c r="F51" s="2" t="str">
        <x:v>set</x:v>
      </x:c>
      <x:c r="G51" s="11" t="str">
        <x:v>Cek stok</x:v>
      </x:c>
      <x:c r="H51" s="12" t="str"/>
      <x:c r="I51" s="9" t="str"/>
    </x:row>
    <x:row r="52" ht="48" customHeight="1">
      <x:c r="A52" s="2" t="n">
        <x:v>43</x:v>
      </x:c>
      <x:c r="B52" s="9" t="str">
        <x:v>Kamera &amp; sensor</x:v>
      </x:c>
      <x:c r="C52" s="9" t="str">
        <x:v>Raspberry Pi Zero + microSD</x:v>
      </x:c>
      <x:c r="D52" s="9" t="str">
        <x:v>Controller yang sekarang</x:v>
      </x:c>
      <x:c r="E52" s="10" t="n">
        <x:v>1</x:v>
      </x:c>
      <x:c r="F52" s="2" t="str">
        <x:v>set</x:v>
      </x:c>
      <x:c r="G52" s="11" t="str">
        <x:v>Cek stok</x:v>
      </x:c>
      <x:c r="H52" s="12" t="str"/>
      <x:c r="I52" s="9" t="str">
        <x:v>Gunakan perangkat yang sudah ada.</x:v>
      </x:c>
    </x:row>
    <x:row r="53" ht="48" customHeight="1">
      <x:c r="A53" s="2" t="n">
        <x:v>44</x:v>
      </x:c>
      <x:c r="B53" s="9" t="str">
        <x:v>Kamera &amp; sensor</x:v>
      </x:c>
      <x:c r="C53" s="9" t="str">
        <x:v>Webcam USB</x:v>
      </x:c>
      <x:c r="D53" s="9" t="str">
        <x:v>Lensa cukup lebar untuk flap 20×25 cm dari jarak ±30 cm</x:v>
      </x:c>
      <x:c r="E53" s="10" t="n">
        <x:v>1</x:v>
      </x:c>
      <x:c r="F53" s="2" t="str">
        <x:v>buah</x:v>
      </x:c>
      <x:c r="G53" s="11" t="str">
        <x:v>Cek stok</x:v>
      </x:c>
      <x:c r="H53" s="12" t="str"/>
      <x:c r="I53" s="9" t="str">
        <x:v>Menggantikan kamera lama. Uji bidang pandang.</x:v>
      </x:c>
    </x:row>
    <x:row r="54" ht="48" customHeight="1">
      <x:c r="A54" s="2" t="n">
        <x:v>45</x:v>
      </x:c>
      <x:c r="B54" s="9" t="str">
        <x:v>Kamera &amp; sensor</x:v>
      </x:c>
      <x:c r="C54" s="9" t="str">
        <x:v>Adaptor USB OTG</x:v>
      </x:c>
      <x:c r="D54" s="9" t="str">
        <x:v>Micro-USB OTG Pi Zero ke USB webcam</x:v>
      </x:c>
      <x:c r="E54" s="10" t="n">
        <x:v>1</x:v>
      </x:c>
      <x:c r="F54" s="2" t="str">
        <x:v>buah</x:v>
      </x:c>
      <x:c r="G54" s="11" t="str">
        <x:v>Cek stok</x:v>
      </x:c>
      <x:c r="H54" s="12" t="str"/>
      <x:c r="I54" s="9" t="str"/>
    </x:row>
    <x:row r="55" ht="48" customHeight="1">
      <x:c r="A55" s="2" t="n">
        <x:v>46</x:v>
      </x:c>
      <x:c r="B55" s="9" t="str">
        <x:v>Kamera &amp; sensor</x:v>
      </x:c>
      <x:c r="C55" s="9" t="str">
        <x:v>OLED I²C</x:v>
      </x:c>
      <x:c r="D55" s="9" t="str">
        <x:v>Mendukung suplai dan logika 3,3 V</x:v>
      </x:c>
      <x:c r="E55" s="10" t="n">
        <x:v>1</x:v>
      </x:c>
      <x:c r="F55" s="2" t="str">
        <x:v>buah</x:v>
      </x:c>
      <x:c r="G55" s="11" t="str">
        <x:v>Cek stok</x:v>
      </x:c>
      <x:c r="H55" s="12" t="str"/>
      <x:c r="I55" s="9" t="str"/>
    </x:row>
    <x:row r="56" ht="48" customHeight="1">
      <x:c r="A56" s="2" t="n">
        <x:v>47</x:v>
      </x:c>
      <x:c r="B56" s="9" t="str">
        <x:v>Kamera &amp; sensor</x:v>
      </x:c>
      <x:c r="C56" s="9" t="str">
        <x:v>Sensor ultrasonik</x:v>
      </x:c>
      <x:c r="D56" s="9" t="str">
        <x:v>HC-SR04</x:v>
      </x:c>
      <x:c r="E56" s="10" t="n">
        <x:v>1</x:v>
      </x:c>
      <x:c r="F56" s="2" t="str">
        <x:v>buah</x:v>
      </x:c>
      <x:c r="G56" s="11" t="str">
        <x:v>Cek stok</x:v>
      </x:c>
      <x:c r="H56" s="12" t="str"/>
      <x:c r="I56" s="9" t="str">
        <x:v>TRIG langsung GPIO17 3,3V; ECHO tetap melalui R2/R3. Uji modul yang dibeli.</x:v>
      </x:c>
    </x:row>
    <x:row r="57" ht="48" customHeight="1">
      <x:c r="A57" s="2" t="n">
        <x:v>48</x:v>
      </x:c>
      <x:c r="B57" s="9" t="str">
        <x:v>Kamera &amp; sensor</x:v>
      </x:c>
      <x:c r="C57" s="9" t="str">
        <x:v>Ring LED</x:v>
      </x:c>
      <x:c r="D57" s="9" t="str">
        <x:v>WS2812, 12 LED, 5 V</x:v>
      </x:c>
      <x:c r="E57" s="10" t="n">
        <x:v>0</x:v>
      </x:c>
      <x:c r="F57" s="2" t="str">
        <x:v>buah</x:v>
      </x:c>
      <x:c r="G57" s="11" t="str">
        <x:v>Tidak perlu</x:v>
      </x:c>
      <x:c r="H57" s="12" t="str"/>
      <x:c r="I57" s="9" t="str">
        <x:v>Dihapus pada TT-PZ2: tanpa ring WS2812 dan IC buffer.</x:v>
      </x:c>
    </x:row>
    <x:row r="58" ht="48" customHeight="1">
      <x:c r="A58" s="2" t="n">
        <x:v>49</x:v>
      </x:c>
      <x:c r="B58" s="9" t="str">
        <x:v>Kamera &amp; sensor</x:v>
      </x:c>
      <x:c r="C58" s="9" t="str">
        <x:v>LED merah</x:v>
      </x:c>
      <x:c r="D58" s="9" t="str">
        <x:v>LED biasa</x:v>
      </x:c>
      <x:c r="E58" s="10" t="n">
        <x:v>1</x:v>
      </x:c>
      <x:c r="F58" s="2" t="str">
        <x:v>buah</x:v>
      </x:c>
      <x:c r="G58" s="11" t="str">
        <x:v>Cek stok</x:v>
      </x:c>
      <x:c r="H58" s="12" t="str"/>
      <x:c r="I58" s="9" t="str"/>
    </x:row>
    <x:row r="59" ht="48" customHeight="1">
      <x:c r="A59" s="2" t="n">
        <x:v>50</x:v>
      </x:c>
      <x:c r="B59" s="9" t="str">
        <x:v>Kamera &amp; sensor</x:v>
      </x:c>
      <x:c r="C59" s="9" t="str">
        <x:v>LED hijau</x:v>
      </x:c>
      <x:c r="D59" s="9" t="str">
        <x:v>LED biasa</x:v>
      </x:c>
      <x:c r="E59" s="10" t="n">
        <x:v>1</x:v>
      </x:c>
      <x:c r="F59" s="2" t="str">
        <x:v>buah</x:v>
      </x:c>
      <x:c r="G59" s="11" t="str">
        <x:v>Cek stok</x:v>
      </x:c>
      <x:c r="H59" s="12" t="str"/>
      <x:c r="I59" s="9" t="str"/>
    </x:row>
    <x:row r="60" ht="48" customHeight="1">
      <x:c r="A60" s="2" t="n">
        <x:v>51</x:v>
      </x:c>
      <x:c r="B60" s="9" t="str">
        <x:v>Kamera &amp; sensor</x:v>
      </x:c>
      <x:c r="C60" s="9" t="str">
        <x:v>Buzzer aktif</x:v>
      </x:c>
      <x:c r="D60" s="9" t="str">
        <x:v>5 V; 2 kaki; arus ≤50 mA</x:v>
      </x:c>
      <x:c r="E60" s="10" t="n">
        <x:v>1</x:v>
      </x:c>
      <x:c r="F60" s="2" t="str">
        <x:v>buah</x:v>
      </x:c>
      <x:c r="G60" s="11" t="str">
        <x:v>Cek stok</x:v>
      </x:c>
      <x:c r="H60" s="12" t="str"/>
      <x:c r="I60" s="9" t="str"/>
    </x:row>
    <x:row r="61" ht="48" customHeight="1">
      <x:c r="A61" s="2" t="n">
        <x:v>52</x:v>
      </x:c>
      <x:c r="B61" s="9" t="str">
        <x:v>Mekanik</x:v>
      </x:c>
      <x:c r="C61" s="9" t="str">
        <x:v>Bearing 608</x:v>
      </x:c>
      <x:c r="D61" s="9" t="str">
        <x:v>8×22×7 mm</x:v>
      </x:c>
      <x:c r="E61" s="10" t="n">
        <x:v>4</x:v>
      </x:c>
      <x:c r="F61" s="2" t="str">
        <x:v>buah</x:v>
      </x:c>
      <x:c r="G61" s="11" t="str">
        <x:v>Cek stok</x:v>
      </x:c>
      <x:c r="H61" s="12" t="str"/>
      <x:c r="I61" s="9" t="str"/>
    </x:row>
    <x:row r="62" ht="48" customHeight="1">
      <x:c r="A62" s="2" t="n">
        <x:v>53</x:v>
      </x:c>
      <x:c r="B62" s="9" t="str">
        <x:v>Mekanik</x:v>
      </x:c>
      <x:c r="C62" s="9" t="str">
        <x:v>Poros baja pan</x:v>
      </x:c>
      <x:c r="D62" s="9" t="str">
        <x:v>Ø8×63 mm</x:v>
      </x:c>
      <x:c r="E62" s="10" t="n">
        <x:v>1</x:v>
      </x:c>
      <x:c r="F62" s="2" t="str">
        <x:v>buah</x:v>
      </x:c>
      <x:c r="G62" s="11" t="str">
        <x:v>Cek stok</x:v>
      </x:c>
      <x:c r="H62" s="12" t="str"/>
      <x:c r="I62" s="9" t="str">
        <x:v>Buat flat lokal sesuai CAD; dudukan bearing tetap bulat.</x:v>
      </x:c>
    </x:row>
    <x:row r="63" ht="48" customHeight="1">
      <x:c r="A63" s="2" t="n">
        <x:v>54</x:v>
      </x:c>
      <x:c r="B63" s="9" t="str">
        <x:v>Mekanik</x:v>
      </x:c>
      <x:c r="C63" s="9" t="str">
        <x:v>Poros baja tilt</x:v>
      </x:c>
      <x:c r="D63" s="9" t="str">
        <x:v>Ø8×104 mm</x:v>
      </x:c>
      <x:c r="E63" s="10" t="n">
        <x:v>1</x:v>
      </x:c>
      <x:c r="F63" s="2" t="str">
        <x:v>buah</x:v>
      </x:c>
      <x:c r="G63" s="11" t="str">
        <x:v>Cek stok</x:v>
      </x:c>
      <x:c r="H63" s="12" t="str"/>
      <x:c r="I63" s="9" t="str">
        <x:v>Buat flat lokal sesuai CAD; poros motor tidak perlu dikikir.</x:v>
      </x:c>
    </x:row>
    <x:row r="64" ht="48" customHeight="1">
      <x:c r="A64" s="2" t="n">
        <x:v>55</x:v>
      </x:c>
      <x:c r="B64" s="9" t="str">
        <x:v>Mekanik</x:v>
      </x:c>
      <x:c r="C64" s="9" t="str">
        <x:v>Shaft collar + pengunci</x:v>
      </x:c>
      <x:c r="D64" s="9" t="str">
        <x:v>ID 8 mm; OD 16 mm; tebal 5 mm</x:v>
      </x:c>
      <x:c r="E64" s="10" t="n">
        <x:v>3</x:v>
      </x:c>
      <x:c r="F64" s="2" t="str">
        <x:v>set</x:v>
      </x:c>
      <x:c r="G64" s="11" t="str">
        <x:v>Cek stok</x:v>
      </x:c>
      <x:c r="H64" s="12" t="str"/>
      <x:c r="I64" s="9" t="str"/>
    </x:row>
    <x:row r="65" ht="48" customHeight="1">
      <x:c r="A65" s="2" t="n">
        <x:v>56</x:v>
      </x:c>
      <x:c r="B65" s="9" t="str">
        <x:v>Mekanik</x:v>
      </x:c>
      <x:c r="C65" s="9" t="str">
        <x:v>Baut kepala imbus pinion</x:v>
      </x:c>
      <x:c r="D65" s="9" t="str">
        <x:v>M3×16</x:v>
      </x:c>
      <x:c r="E65" s="10" t="n">
        <x:v>2</x:v>
      </x:c>
      <x:c r="F65" s="2" t="str">
        <x:v>buah</x:v>
      </x:c>
      <x:c r="G65" s="11" t="str">
        <x:v>Belum dibeli</x:v>
      </x:c>
      <x:c r="H65" s="12" t="str"/>
      <x:c r="I65" s="9" t="str">
        <x:v>Tanpa washer; jangan diganti M3×25.</x:v>
      </x:c>
    </x:row>
    <x:row r="66" ht="48" customHeight="1">
      <x:c r="A66" s="2" t="n">
        <x:v>57</x:v>
      </x:c>
      <x:c r="B66" s="9" t="str">
        <x:v>Mekanik</x:v>
      </x:c>
      <x:c r="C66" s="9" t="str">
        <x:v>Mur pinion</x:v>
      </x:c>
      <x:c r="D66" s="9" t="str">
        <x:v>M3 biasa</x:v>
      </x:c>
      <x:c r="E66" s="10" t="n">
        <x:v>2</x:v>
      </x:c>
      <x:c r="F66" s="2" t="str">
        <x:v>buah</x:v>
      </x:c>
      <x:c r="G66" s="11" t="str">
        <x:v>Cek stok</x:v>
      </x:c>
      <x:c r="H66" s="12" t="str"/>
      <x:c r="I66" s="9" t="str"/>
    </x:row>
    <x:row r="67" ht="48" customHeight="1">
      <x:c r="A67" s="2" t="n">
        <x:v>58</x:v>
      </x:c>
      <x:c r="B67" s="9" t="str">
        <x:v>Mekanik</x:v>
      </x:c>
      <x:c r="C67" s="9" t="str">
        <x:v>Baut base + mur + washer</x:v>
      </x:c>
      <x:c r="D67" s="9" t="str">
        <x:v>M3×40</x:v>
      </x:c>
      <x:c r="E67" s="10" t="n">
        <x:v>2</x:v>
      </x:c>
      <x:c r="F67" s="2" t="str">
        <x:v>set</x:v>
      </x:c>
      <x:c r="G67" s="11" t="str">
        <x:v>Cek stok</x:v>
      </x:c>
      <x:c r="H67" s="12" t="str"/>
      <x:c r="I67" s="9" t="str"/>
    </x:row>
    <x:row r="68" ht="48" customHeight="1">
      <x:c r="A68" s="2" t="n">
        <x:v>59</x:v>
      </x:c>
      <x:c r="B68" s="9" t="str">
        <x:v>Mekanik</x:v>
      </x:c>
      <x:c r="C68" s="9" t="str">
        <x:v>Sekrup retainer bearing</x:v>
      </x:c>
      <x:c r="D68" s="9" t="str">
        <x:v>M2×4</x:v>
      </x:c>
      <x:c r="E68" s="10" t="n">
        <x:v>8</x:v>
      </x:c>
      <x:c r="F68" s="2" t="str">
        <x:v>buah</x:v>
      </x:c>
      <x:c r="G68" s="11" t="str">
        <x:v>Cek stok</x:v>
      </x:c>
      <x:c r="H68" s="12" t="str"/>
      <x:c r="I68" s="9" t="str"/>
    </x:row>
    <x:row r="69" ht="48" customHeight="1">
      <x:c r="A69" s="2" t="n">
        <x:v>60</x:v>
      </x:c>
      <x:c r="B69" s="9" t="str">
        <x:v>Mekanik</x:v>
      </x:c>
      <x:c r="C69" s="9" t="str">
        <x:v>Grubscrew + mur</x:v>
      </x:c>
      <x:c r="D69" s="9" t="str">
        <x:v>M3; panjang mengikuti posisi CAD</x:v>
      </x:c>
      <x:c r="E69" s="10" t="n">
        <x:v>5</x:v>
      </x:c>
      <x:c r="F69" s="2" t="str">
        <x:v>set</x:v>
      </x:c>
      <x:c r="G69" s="11" t="str">
        <x:v>Cek stok</x:v>
      </x:c>
      <x:c r="H69" s="12" t="str"/>
      <x:c r="I69" s="9" t="str">
        <x:v>Untuk 2 gear besar dan 3 hub; panjang belum dikunci.</x:v>
      </x:c>
    </x:row>
    <x:row r="70" ht="48" customHeight="1">
      <x:c r="A70" s="2" t="n">
        <x:v>61</x:v>
      </x:c>
      <x:c r="B70" s="9" t="str">
        <x:v>Mekanik</x:v>
      </x:c>
      <x:c r="C70" s="9" t="str">
        <x:v>Baut pemasangan motor</x:v>
      </x:c>
      <x:c r="D70" s="9" t="str">
        <x:v>M3; panjang sesuai dudukan dan kedalaman ulir motor</x:v>
      </x:c>
      <x:c r="E70" s="10" t="n">
        <x:v>8</x:v>
      </x:c>
      <x:c r="F70" s="2" t="str">
        <x:v>buah</x:v>
      </x:c>
      <x:c r="G70" s="11" t="str">
        <x:v>Cek stok</x:v>
      </x:c>
      <x:c r="H70" s="12" t="str"/>
      <x:c r="I70" s="9" t="str">
        <x:v>Pastikan panjang sebelum beli; jangan mentok rotor.</x:v>
      </x:c>
    </x:row>
    <x:row r="71" ht="48" customHeight="1">
      <x:c r="A71" s="2" t="n">
        <x:v>62</x:v>
      </x:c>
      <x:c r="B71" s="9" t="str">
        <x:v>Mekanik</x:v>
      </x:c>
      <x:c r="C71" s="9" t="str">
        <x:v>Baut tutup bearing</x:v>
      </x:c>
      <x:c r="D71" s="9" t="str">
        <x:v>M3; panjang sesuai dudukan</x:v>
      </x:c>
      <x:c r="E71" s="10" t="n">
        <x:v>4</x:v>
      </x:c>
      <x:c r="F71" s="2" t="str">
        <x:v>buah</x:v>
      </x:c>
      <x:c r="G71" s="11" t="str">
        <x:v>Cek stok</x:v>
      </x:c>
      <x:c r="H71" s="12" t="str"/>
      <x:c r="I71" s="9" t="str">
        <x:v>Panjang belum dikunci.</x:v>
      </x:c>
    </x:row>
    <x:row r="72" ht="48" customHeight="1">
      <x:c r="A72" s="2" t="n">
        <x:v>63</x:v>
      </x:c>
      <x:c r="B72" s="9" t="str">
        <x:v>Mekanik</x:v>
      </x:c>
      <x:c r="C72" s="9" t="str">
        <x:v>Rivet</x:v>
      </x:c>
      <x:c r="D72" s="9" t="str">
        <x:v>Ø3,5 mm; panjang grip sesuai pemasangan</x:v>
      </x:c>
      <x:c r="E72" s="10" t="n">
        <x:v>4</x:v>
      </x:c>
      <x:c r="F72" s="2" t="str">
        <x:v>buah</x:v>
      </x:c>
      <x:c r="G72" s="11" t="str">
        <x:v>Cek stok</x:v>
      </x:c>
      <x:c r="H72" s="12" t="str"/>
      <x:c r="I72" s="9" t="str"/>
    </x:row>
    <x:row r="73" ht="48" customHeight="1">
      <x:c r="A73" s="2" t="n">
        <x:v>64</x:v>
      </x:c>
      <x:c r="B73" s="9" t="str">
        <x:v>Cetak 3D</x:v>
      </x:c>
      <x:c r="C73" s="9" t="str">
        <x:v>PETG / jasa cetak</x:v>
      </x:c>
      <x:c r="D73" s="9" t="str">
        <x:v>1 rakitan lengkap = 14 komponen plastik</x:v>
      </x:c>
      <x:c r="E73" s="10" t="n">
        <x:v>1</x:v>
      </x:c>
      <x:c r="F73" s="2" t="str">
        <x:v>rakitan</x:v>
      </x:c>
      <x:c r="G73" s="11" t="str">
        <x:v>Cek stok</x:v>
      </x:c>
      <x:c r="H73" s="12" t="str"/>
      <x:c r="I73" s="9" t="str">
        <x:v>Ikuti stl/cetak/JUMLAH-CETAK.txt; pinion pan dan tilt berbeda.</x:v>
      </x:c>
    </x:row>
  </x:sheetData>
  <x:conditionalFormatting sqref="G10:G73">
    <x:cfRule type="expression" dxfId="0" priority="1">
      <x:formula>G10="Siap"</x:formula>
    </x:cfRule>
    <x:cfRule type="expression" dxfId="1" priority="2">
      <x:formula>G10="Di keranjang"</x:formula>
    </x:cfRule>
    <x:cfRule type="expression" dxfId="2" priority="3">
      <x:formula>G10="Tidak perlu"</x:formula>
    </x:cfRule>
  </x:conditionalFormatting>
  <x:dataValidations count="1">
    <x:dataValidation type="list" sqref="G10:G73">
      <x:formula1>"Cek stok,Belum dibeli,Di keranjang,Dipesan,Siap,Tidak perlu"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9517f81e94fc5"/>
  </x:tableParts>
</x:worksheet>
</file>